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84A7EF3C-2782-4BD6-8C57-0EBAEE4D5B62}" xr6:coauthVersionLast="36" xr6:coauthVersionMax="36" xr10:uidLastSave="{00000000-0000-0000-0000-000000000000}"/>
  <bookViews>
    <workbookView xWindow="0" yWindow="0" windowWidth="20490" windowHeight="7425" xr2:uid="{CE0DF3FC-6EE7-40DD-8219-5456D3E45573}"/>
  </bookViews>
  <sheets>
    <sheet name="APP" sheetId="1" r:id="rId1"/>
    <sheet name="APOIO" sheetId="2" r:id="rId2"/>
  </sheets>
  <definedNames>
    <definedName name="aporte">APP!$D$17</definedName>
    <definedName name="patrimonio">APP!$D$20</definedName>
    <definedName name="qtd_anos">APP!$D$18</definedName>
    <definedName name="rendimentos_carteira">APP!$D$13</definedName>
    <definedName name="sugestao_investimento">APP!$D$14</definedName>
    <definedName name="taxa_mensal">APP!$D$19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C37" i="1"/>
  <c r="C38" i="1"/>
  <c r="C39" i="1"/>
  <c r="D39" i="1" s="1"/>
  <c r="C40" i="1"/>
  <c r="C41" i="1"/>
  <c r="C36" i="1"/>
  <c r="I4" i="2"/>
  <c r="A10" i="2"/>
  <c r="A9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2" i="1"/>
  <c r="C24" i="1"/>
  <c r="D24" i="1" s="1"/>
  <c r="D20" i="1"/>
  <c r="D21" i="1" s="1"/>
  <c r="C25" i="1"/>
  <c r="D25" i="1" s="1"/>
  <c r="C26" i="1"/>
  <c r="D26" i="1" s="1"/>
  <c r="C27" i="1"/>
  <c r="D27" i="1" s="1"/>
  <c r="C28" i="1"/>
  <c r="D28" i="1" s="1"/>
  <c r="D36" i="1" l="1"/>
  <c r="D38" i="1"/>
  <c r="D41" i="1"/>
  <c r="D37" i="1"/>
  <c r="D42" i="1" s="1"/>
  <c r="D40" i="1"/>
</calcChain>
</file>

<file path=xl/sharedStrings.xml><?xml version="1.0" encoding="utf-8"?>
<sst xmlns="http://schemas.openxmlformats.org/spreadsheetml/2006/main" count="75" uniqueCount="38">
  <si>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</si>
  <si>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</si>
  <si>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</si>
  <si>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</si>
  <si>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</si>
  <si>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</si>
  <si>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</si>
  <si>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</si>
  <si>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</si>
  <si>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</si>
  <si>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</si>
  <si>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</si>
  <si>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Rendimentos da Carteira</t>
  </si>
  <si>
    <t>Salário</t>
  </si>
  <si>
    <t>Soma</t>
  </si>
  <si>
    <t>Média</t>
  </si>
  <si>
    <t>Soma Acumulada</t>
  </si>
  <si>
    <t>Contagem</t>
  </si>
  <si>
    <t>CONFIGURAÇÕES</t>
  </si>
  <si>
    <t>DIVIDENDO</t>
  </si>
  <si>
    <t>PERFIL</t>
  </si>
  <si>
    <t>Conservador</t>
  </si>
  <si>
    <t>VALOR A SER INVESTIDO POR MÊS</t>
  </si>
  <si>
    <t>Agressivo</t>
  </si>
  <si>
    <t>TIPO DE FII</t>
  </si>
  <si>
    <t>PERCENTUAL SUGERIDO</t>
  </si>
  <si>
    <t>VALORES</t>
  </si>
  <si>
    <t>PAPEL</t>
  </si>
  <si>
    <t>TIJOLO</t>
  </si>
  <si>
    <t>HIBRIDOS</t>
  </si>
  <si>
    <t>FOF'S</t>
  </si>
  <si>
    <t>DESENVOLVIMENTO</t>
  </si>
  <si>
    <t>HOTELARIAS</t>
  </si>
  <si>
    <t>%</t>
  </si>
  <si>
    <t>CHAVE</t>
  </si>
  <si>
    <t>Moderado</t>
  </si>
  <si>
    <t>Moderado-TIJOLO</t>
  </si>
  <si>
    <t>Sugestão de Investimentos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</si>
</sst>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73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1"/>
      </right>
      <top/>
      <bottom style="medium">
        <color theme="0" tint="-4.9989318521683403E-2"/>
      </bottom>
      <diagonal/>
    </border>
    <border>
      <left style="medium">
        <color theme="1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1"/>
      </left>
      <right style="medium">
        <color theme="0" tint="-4.9989318521683403E-2"/>
      </right>
      <top style="medium">
        <color theme="0" tint="-4.9989318521683403E-2"/>
      </top>
      <bottom style="medium">
        <color theme="1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1"/>
      </bottom>
      <diagonal/>
    </border>
    <border>
      <left style="medium">
        <color theme="0" tint="-4.9989318521683403E-2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thin">
        <color theme="0" tint="-0.34998626667073579"/>
      </top>
      <bottom/>
      <diagonal/>
    </border>
    <border>
      <left/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0" tint="-0.249977111117893"/>
      </bottom>
      <diagonal/>
    </border>
    <border>
      <left/>
      <right/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 style="medium">
        <color theme="1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1"/>
      </right>
      <top style="thin">
        <color theme="0" tint="-0.249977111117893"/>
      </top>
      <bottom style="medium">
        <color theme="1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4">
    <xf numFmtId="0" fontId="0" fillId="0" borderId="0" xfId="0"/>
    <xf numFmtId="0" fontId="0" fillId="0" borderId="0" xfId="0" applyBorder="1"/>
    <xf numFmtId="0" fontId="5" fillId="5" borderId="0" xfId="0" applyFont="1" applyFill="1"/>
    <xf numFmtId="0" fontId="6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173" fontId="0" fillId="3" borderId="8" xfId="0" applyNumberFormat="1" applyFill="1" applyBorder="1" applyAlignment="1">
      <alignment horizontal="center"/>
    </xf>
    <xf numFmtId="173" fontId="0" fillId="3" borderId="9" xfId="0" applyNumberFormat="1" applyFill="1" applyBorder="1" applyAlignment="1">
      <alignment horizontal="center"/>
    </xf>
    <xf numFmtId="173" fontId="0" fillId="3" borderId="11" xfId="0" applyNumberFormat="1" applyFill="1" applyBorder="1" applyAlignment="1">
      <alignment horizontal="center"/>
    </xf>
    <xf numFmtId="173" fontId="0" fillId="3" borderId="13" xfId="0" applyNumberForma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73" fontId="0" fillId="3" borderId="14" xfId="0" applyNumberFormat="1" applyFill="1" applyBorder="1" applyAlignment="1">
      <alignment horizontal="center"/>
    </xf>
    <xf numFmtId="173" fontId="0" fillId="0" borderId="6" xfId="0" applyNumberFormat="1" applyBorder="1" applyAlignment="1">
      <alignment horizontal="center"/>
    </xf>
    <xf numFmtId="0" fontId="7" fillId="0" borderId="0" xfId="0" applyFont="1"/>
    <xf numFmtId="0" fontId="6" fillId="6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173" fontId="0" fillId="0" borderId="15" xfId="0" applyNumberFormat="1" applyBorder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left"/>
    </xf>
    <xf numFmtId="10" fontId="0" fillId="0" borderId="25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173" fontId="0" fillId="0" borderId="16" xfId="0" applyNumberFormat="1" applyBorder="1" applyAlignment="1">
      <alignment horizontal="center"/>
    </xf>
    <xf numFmtId="8" fontId="4" fillId="3" borderId="31" xfId="0" applyNumberFormat="1" applyFont="1" applyFill="1" applyBorder="1" applyAlignment="1">
      <alignment horizontal="center"/>
    </xf>
    <xf numFmtId="8" fontId="4" fillId="3" borderId="25" xfId="0" applyNumberFormat="1" applyFont="1" applyFill="1" applyBorder="1" applyAlignment="1">
      <alignment horizontal="center"/>
    </xf>
    <xf numFmtId="0" fontId="7" fillId="7" borderId="17" xfId="0" applyFont="1" applyFill="1" applyBorder="1" applyAlignment="1">
      <alignment horizontal="left" indent="3"/>
    </xf>
    <xf numFmtId="0" fontId="7" fillId="7" borderId="2" xfId="0" applyFont="1" applyFill="1" applyBorder="1" applyAlignment="1">
      <alignment horizontal="left" indent="3"/>
    </xf>
    <xf numFmtId="0" fontId="7" fillId="7" borderId="18" xfId="0" applyFont="1" applyFill="1" applyBorder="1" applyAlignment="1">
      <alignment horizontal="left" indent="3"/>
    </xf>
    <xf numFmtId="0" fontId="7" fillId="7" borderId="19" xfId="0" applyFont="1" applyFill="1" applyBorder="1" applyAlignment="1">
      <alignment horizontal="left" indent="3"/>
    </xf>
    <xf numFmtId="0" fontId="7" fillId="7" borderId="23" xfId="0" applyFont="1" applyFill="1" applyBorder="1" applyAlignment="1">
      <alignment horizontal="left" indent="3"/>
    </xf>
    <xf numFmtId="0" fontId="7" fillId="7" borderId="28" xfId="0" applyFont="1" applyFill="1" applyBorder="1" applyAlignment="1">
      <alignment horizontal="left" indent="3"/>
    </xf>
    <xf numFmtId="0" fontId="7" fillId="7" borderId="24" xfId="0" applyFont="1" applyFill="1" applyBorder="1" applyAlignment="1">
      <alignment horizontal="left" indent="3"/>
    </xf>
    <xf numFmtId="0" fontId="7" fillId="7" borderId="27" xfId="0" applyFont="1" applyFill="1" applyBorder="1" applyAlignment="1">
      <alignment horizontal="left" indent="3"/>
    </xf>
    <xf numFmtId="0" fontId="7" fillId="7" borderId="26" xfId="0" applyFont="1" applyFill="1" applyBorder="1" applyAlignment="1">
      <alignment horizontal="left" indent="3"/>
    </xf>
    <xf numFmtId="0" fontId="8" fillId="7" borderId="24" xfId="0" applyFont="1" applyFill="1" applyBorder="1" applyAlignment="1">
      <alignment horizontal="left" indent="3"/>
    </xf>
    <xf numFmtId="0" fontId="8" fillId="7" borderId="27" xfId="0" applyFont="1" applyFill="1" applyBorder="1" applyAlignment="1">
      <alignment horizontal="left" indent="3"/>
    </xf>
    <xf numFmtId="0" fontId="8" fillId="7" borderId="29" xfId="0" applyFont="1" applyFill="1" applyBorder="1" applyAlignment="1">
      <alignment horizontal="left" indent="3"/>
    </xf>
    <xf numFmtId="0" fontId="8" fillId="7" borderId="30" xfId="0" applyFont="1" applyFill="1" applyBorder="1" applyAlignment="1">
      <alignment horizontal="left" indent="3"/>
    </xf>
    <xf numFmtId="0" fontId="7" fillId="3" borderId="7" xfId="0" applyFont="1" applyFill="1" applyBorder="1" applyAlignment="1">
      <alignment horizontal="left" indent="3"/>
    </xf>
    <xf numFmtId="0" fontId="7" fillId="3" borderId="10" xfId="0" applyFont="1" applyFill="1" applyBorder="1" applyAlignment="1">
      <alignment horizontal="left" indent="3"/>
    </xf>
    <xf numFmtId="0" fontId="7" fillId="3" borderId="12" xfId="0" applyFont="1" applyFill="1" applyBorder="1" applyAlignment="1">
      <alignment horizontal="left" indent="3"/>
    </xf>
    <xf numFmtId="0" fontId="2" fillId="2" borderId="0" xfId="2" applyBorder="1" applyAlignment="1">
      <alignment horizontal="left" indent="3"/>
    </xf>
    <xf numFmtId="173" fontId="0" fillId="3" borderId="0" xfId="0" applyNumberFormat="1" applyFill="1"/>
    <xf numFmtId="0" fontId="4" fillId="3" borderId="0" xfId="0" applyFont="1" applyFill="1"/>
    <xf numFmtId="173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2" borderId="0" xfId="2" applyAlignment="1">
      <alignment horizontal="left" vertical="top" indent="16"/>
    </xf>
    <xf numFmtId="9" fontId="0" fillId="0" borderId="0" xfId="0" applyNumberFormat="1"/>
    <xf numFmtId="0" fontId="0" fillId="8" borderId="0" xfId="0" applyFill="1"/>
    <xf numFmtId="0" fontId="2" fillId="2" borderId="0" xfId="2" applyBorder="1"/>
    <xf numFmtId="0" fontId="0" fillId="0" borderId="1" xfId="0" applyBorder="1"/>
    <xf numFmtId="9" fontId="0" fillId="0" borderId="1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0" fontId="0" fillId="0" borderId="33" xfId="0" applyBorder="1"/>
    <xf numFmtId="9" fontId="0" fillId="0" borderId="33" xfId="0" applyNumberFormat="1" applyBorder="1"/>
    <xf numFmtId="0" fontId="0" fillId="0" borderId="32" xfId="0" applyBorder="1"/>
    <xf numFmtId="9" fontId="0" fillId="0" borderId="32" xfId="0" applyNumberFormat="1" applyBorder="1"/>
    <xf numFmtId="9" fontId="2" fillId="2" borderId="0" xfId="1" applyFont="1" applyFill="1"/>
    <xf numFmtId="173" fontId="0" fillId="8" borderId="0" xfId="0" applyNumberFormat="1" applyFill="1"/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E7F-423E-A2B8-4B3F3DC28D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F-423E-A2B8-4B3F3DC28D1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455429</xdr:colOff>
      <xdr:row>0</xdr:row>
      <xdr:rowOff>26193</xdr:rowOff>
    </xdr:from>
    <xdr:to>
      <xdr:col>4</xdr:col>
      <xdr:colOff>261937</xdr:colOff>
      <xdr:row>9</xdr:row>
      <xdr:rowOff>119063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7191A8-DDA9-436F-91D5-7FA72789B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8" t="38154" r="2137" b="32415"/>
        <a:stretch/>
      </xdr:blipFill>
      <xdr:spPr>
        <a:xfrm>
          <a:off x="455429" y="26193"/>
          <a:ext cx="6855008" cy="1807370"/>
        </a:xfrm>
        <a:prstGeom prst="rect">
          <a:avLst/>
        </a:prstGeom>
      </xdr:spPr>
    </xdr:pic>
    <xdr:clientData/>
  </xdr:twoCellAnchor>
  <xdr:twoCellAnchor>
    <xdr:from>
      <xdr:col>1</xdr:col>
      <xdr:colOff>488155</xdr:colOff>
      <xdr:row>45</xdr:row>
      <xdr:rowOff>170258</xdr:rowOff>
    </xdr:from>
    <xdr:to>
      <xdr:col>3</xdr:col>
      <xdr:colOff>202405</xdr:colOff>
      <xdr:row>61</xdr:row>
      <xdr:rowOff>142874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E44FE29-F92B-483F-A739-2D81A8A09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BD25-B8C1-43F3-9252-3DF6A10BF8CE}">
  <dimension ref="A10:XFD42"/>
  <sheetViews>
    <sheetView showGridLines="0" tabSelected="1" topLeftCell="A43" zoomScale="80" zoomScaleNormal="80" workbookViewId="0">
      <selection activeCell="A12" sqref="A12"/>
    </sheetView>
  </sheetViews>
  <sheetFormatPr defaultColWidth="0" defaultRowHeight="15" x14ac:dyDescent="0.25"/>
  <cols>
    <col min="1" max="1" width="9.140625" customWidth="1"/>
    <col min="2" max="2" width="34.28515625" customWidth="1"/>
    <col min="3" max="3" width="49.42578125" customWidth="1"/>
    <col min="4" max="4" width="12.85546875" bestFit="1" customWidth="1"/>
    <col min="5" max="5" width="12" customWidth="1"/>
    <col min="6" max="6" width="2.140625" customWidth="1"/>
    <col min="7" max="7" width="4.85546875" customWidth="1"/>
    <col min="8" max="16383" width="9.140625" hidden="1"/>
    <col min="16384" max="16384" width="2.7109375" hidden="1" customWidth="1"/>
  </cols>
  <sheetData>
    <row r="10" spans="1:7" ht="15.75" thickBot="1" x14ac:dyDescent="0.3">
      <c r="G10" s="1"/>
    </row>
    <row r="11" spans="1:7" ht="26.25" x14ac:dyDescent="0.4">
      <c r="B11" s="10" t="s">
        <v>18</v>
      </c>
      <c r="C11" s="18"/>
      <c r="D11" s="14"/>
      <c r="G11" s="1"/>
    </row>
    <row r="12" spans="1:7" ht="15.75" x14ac:dyDescent="0.25">
      <c r="B12" s="27" t="s">
        <v>13</v>
      </c>
      <c r="C12" s="28"/>
      <c r="D12" s="16">
        <v>5000</v>
      </c>
      <c r="G12" s="1"/>
    </row>
    <row r="13" spans="1:7" ht="15.75" x14ac:dyDescent="0.25">
      <c r="A13" s="13"/>
      <c r="B13" s="27" t="s">
        <v>12</v>
      </c>
      <c r="C13" s="28"/>
      <c r="D13" s="17">
        <v>6.0000000000000001E-3</v>
      </c>
      <c r="G13" s="1"/>
    </row>
    <row r="14" spans="1:7" ht="16.5" thickBot="1" x14ac:dyDescent="0.3">
      <c r="B14" s="29" t="s">
        <v>37</v>
      </c>
      <c r="C14" s="30"/>
      <c r="D14" s="12">
        <f>D12*30%</f>
        <v>1500</v>
      </c>
      <c r="G14" s="1"/>
    </row>
    <row r="15" spans="1:7" ht="15.75" thickBot="1" x14ac:dyDescent="0.3">
      <c r="G15" s="1"/>
    </row>
    <row r="16" spans="1:7" ht="30" customHeight="1" x14ac:dyDescent="0.4">
      <c r="A16" s="1"/>
      <c r="B16" s="19" t="s">
        <v>0</v>
      </c>
      <c r="C16" s="20"/>
      <c r="D16" s="21"/>
    </row>
    <row r="17" spans="1:4" ht="15.75" x14ac:dyDescent="0.25">
      <c r="B17" s="31" t="s">
        <v>1</v>
      </c>
      <c r="C17" s="32"/>
      <c r="D17" s="24">
        <v>300</v>
      </c>
    </row>
    <row r="18" spans="1:4" ht="14.25" customHeight="1" x14ac:dyDescent="0.25">
      <c r="B18" s="33" t="s">
        <v>2</v>
      </c>
      <c r="C18" s="34"/>
      <c r="D18" s="23">
        <v>5</v>
      </c>
    </row>
    <row r="19" spans="1:4" ht="15" customHeight="1" x14ac:dyDescent="0.25">
      <c r="B19" s="33" t="s">
        <v>3</v>
      </c>
      <c r="C19" s="35"/>
      <c r="D19" s="22">
        <v>1.0789999999999999E-2</v>
      </c>
    </row>
    <row r="20" spans="1:4" ht="15" customHeight="1" x14ac:dyDescent="0.25">
      <c r="B20" s="36" t="s">
        <v>4</v>
      </c>
      <c r="C20" s="37"/>
      <c r="D20" s="26">
        <f>FV(taxa_mensal,qtd_anos*12,aporte*-1)</f>
        <v>25133.074199546292</v>
      </c>
    </row>
    <row r="21" spans="1:4" ht="15.75" customHeight="1" thickBot="1" x14ac:dyDescent="0.3">
      <c r="B21" s="38" t="s">
        <v>5</v>
      </c>
      <c r="C21" s="39"/>
      <c r="D21" s="25">
        <f>patrimonio*rendimentos_carteira</f>
        <v>150.79844519727774</v>
      </c>
    </row>
    <row r="22" spans="1:4" ht="15.75" thickBot="1" x14ac:dyDescent="0.3">
      <c r="B22" s="1"/>
    </row>
    <row r="23" spans="1:4" ht="26.25" x14ac:dyDescent="0.4">
      <c r="B23" s="3" t="s">
        <v>11</v>
      </c>
      <c r="C23" s="5"/>
      <c r="D23" s="4" t="s">
        <v>19</v>
      </c>
    </row>
    <row r="24" spans="1:4" ht="16.5" thickBot="1" x14ac:dyDescent="0.3">
      <c r="A24" s="2">
        <v>2</v>
      </c>
      <c r="B24" s="40" t="s">
        <v>6</v>
      </c>
      <c r="C24" s="6">
        <f>FV($D$19,$A24*12,$D$17*-1)</f>
        <v>8168.2881892935648</v>
      </c>
      <c r="D24" s="7">
        <f>C24*rendimentos_carteira</f>
        <v>49.00972913576139</v>
      </c>
    </row>
    <row r="25" spans="1:4" ht="16.5" thickBot="1" x14ac:dyDescent="0.3">
      <c r="A25" s="2">
        <v>5</v>
      </c>
      <c r="B25" s="41" t="s">
        <v>7</v>
      </c>
      <c r="C25" s="8">
        <f>FV($D$19,$A25*12,$D$17*-1)</f>
        <v>25133.074199546292</v>
      </c>
      <c r="D25" s="7">
        <f>C25*rendimentos_carteira</f>
        <v>150.79844519727774</v>
      </c>
    </row>
    <row r="26" spans="1:4" ht="16.5" thickBot="1" x14ac:dyDescent="0.3">
      <c r="A26" s="2">
        <v>10</v>
      </c>
      <c r="B26" s="41" t="s">
        <v>8</v>
      </c>
      <c r="C26" s="8">
        <f>FV($D$19,$A26*12,$D$17*-1)</f>
        <v>72985.263759051653</v>
      </c>
      <c r="D26" s="7">
        <f>C26*rendimentos_carteira</f>
        <v>437.91158255430992</v>
      </c>
    </row>
    <row r="27" spans="1:4" ht="16.5" thickBot="1" x14ac:dyDescent="0.3">
      <c r="A27" s="2">
        <v>20</v>
      </c>
      <c r="B27" s="41" t="s">
        <v>9</v>
      </c>
      <c r="C27" s="8">
        <f>FV($D$19,$A27*12,$D$17*-1)</f>
        <v>337559.52002912416</v>
      </c>
      <c r="D27" s="7">
        <f>C27*rendimentos_carteira</f>
        <v>2025.357120174745</v>
      </c>
    </row>
    <row r="28" spans="1:4" ht="16.5" thickBot="1" x14ac:dyDescent="0.3">
      <c r="A28" s="2">
        <v>30</v>
      </c>
      <c r="B28" s="42" t="s">
        <v>10</v>
      </c>
      <c r="C28" s="9">
        <f>FV($D$19,$A28*12,$D$17*-1)</f>
        <v>1296650.8965014142</v>
      </c>
      <c r="D28" s="11">
        <f>C28*rendimentos_carteira</f>
        <v>7779.9053790084854</v>
      </c>
    </row>
    <row r="31" spans="1:4" x14ac:dyDescent="0.25">
      <c r="B31" s="43" t="s">
        <v>20</v>
      </c>
      <c r="C31" s="48" t="s">
        <v>21</v>
      </c>
      <c r="D31" s="48"/>
    </row>
    <row r="32" spans="1:4" x14ac:dyDescent="0.25">
      <c r="B32" s="45" t="s">
        <v>22</v>
      </c>
      <c r="C32" s="46">
        <f>aporte</f>
        <v>300</v>
      </c>
      <c r="D32" s="47"/>
    </row>
    <row r="33" spans="2:4" x14ac:dyDescent="0.25">
      <c r="C33" s="15"/>
    </row>
    <row r="35" spans="2:4" x14ac:dyDescent="0.25">
      <c r="B35" s="50" t="s">
        <v>24</v>
      </c>
      <c r="C35" s="50" t="s">
        <v>25</v>
      </c>
      <c r="D35" s="50" t="s">
        <v>26</v>
      </c>
    </row>
    <row r="36" spans="2:4" x14ac:dyDescent="0.25">
      <c r="B36" t="s">
        <v>27</v>
      </c>
      <c r="C36" s="49">
        <f>VLOOKUP($C$31&amp;"-"&amp;B36,APOIO!$A:$D,4,FALSE)</f>
        <v>0.3</v>
      </c>
      <c r="D36" s="44">
        <f>C36*$C$32</f>
        <v>90</v>
      </c>
    </row>
    <row r="37" spans="2:4" x14ac:dyDescent="0.25">
      <c r="B37" t="s">
        <v>28</v>
      </c>
      <c r="C37" s="49">
        <f>VLOOKUP($C$31&amp;"-"&amp;B37,APOIO!$A:$D,4,FALSE)</f>
        <v>0.5</v>
      </c>
      <c r="D37" s="44">
        <f t="shared" ref="D37:D41" si="0">C37*$C$32</f>
        <v>150</v>
      </c>
    </row>
    <row r="38" spans="2:4" x14ac:dyDescent="0.25">
      <c r="B38" t="s">
        <v>29</v>
      </c>
      <c r="C38" s="49">
        <f>VLOOKUP($C$31&amp;"-"&amp;B38,APOIO!$A:$D,4,FALSE)</f>
        <v>0.1</v>
      </c>
      <c r="D38" s="44">
        <f t="shared" si="0"/>
        <v>30</v>
      </c>
    </row>
    <row r="39" spans="2:4" x14ac:dyDescent="0.25">
      <c r="B39" t="s">
        <v>30</v>
      </c>
      <c r="C39" s="49">
        <f>VLOOKUP($C$31&amp;"-"&amp;B39,APOIO!$A:$D,4,FALSE)</f>
        <v>0.1</v>
      </c>
      <c r="D39" s="44">
        <f t="shared" si="0"/>
        <v>30</v>
      </c>
    </row>
    <row r="40" spans="2:4" x14ac:dyDescent="0.25">
      <c r="B40" t="s">
        <v>31</v>
      </c>
      <c r="C40" s="49">
        <f>VLOOKUP($C$31&amp;"-"&amp;B40,APOIO!$A:$D,4,FALSE)</f>
        <v>0</v>
      </c>
      <c r="D40" s="44">
        <f t="shared" si="0"/>
        <v>0</v>
      </c>
    </row>
    <row r="41" spans="2:4" x14ac:dyDescent="0.25">
      <c r="B41" t="s">
        <v>32</v>
      </c>
      <c r="C41" s="49">
        <f>VLOOKUP($C$31&amp;"-"&amp;B41,APOIO!$A:$D,4,FALSE)</f>
        <v>0</v>
      </c>
      <c r="D41" s="44">
        <f t="shared" si="0"/>
        <v>0</v>
      </c>
    </row>
    <row r="42" spans="2:4" x14ac:dyDescent="0.25">
      <c r="B42" s="50"/>
      <c r="C42" s="50"/>
      <c r="D42" s="63">
        <f>SUM(D36:D41)</f>
        <v>300</v>
      </c>
    </row>
  </sheetData>
  <mergeCells count="12">
    <mergeCell ref="B21:C21"/>
    <mergeCell ref="B11:C11"/>
    <mergeCell ref="B12:C12"/>
    <mergeCell ref="B13:C13"/>
    <mergeCell ref="B14:C14"/>
    <mergeCell ref="C31:D31"/>
    <mergeCell ref="B16:C16"/>
    <mergeCell ref="B23:C23"/>
    <mergeCell ref="B17:C17"/>
    <mergeCell ref="B18:C18"/>
    <mergeCell ref="B19:C19"/>
    <mergeCell ref="B20:C20"/>
  </mergeCells>
  <dataValidations count="1">
    <dataValidation type="list" allowBlank="1" showInputMessage="1" showErrorMessage="1" sqref="C31" xr:uid="{7BEB196F-ED1E-41CF-B483-9AE80CA70C2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BF40-8EDF-4532-A071-0B9C953AC51F}">
  <dimension ref="A2:I20"/>
  <sheetViews>
    <sheetView workbookViewId="0">
      <selection activeCell="B22" sqref="B22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8" max="8" width="17" bestFit="1" customWidth="1"/>
  </cols>
  <sheetData>
    <row r="2" spans="1:9" x14ac:dyDescent="0.25">
      <c r="A2" s="54" t="s">
        <v>34</v>
      </c>
      <c r="B2" s="55" t="s">
        <v>20</v>
      </c>
      <c r="C2" s="56" t="s">
        <v>24</v>
      </c>
      <c r="D2" s="57" t="s">
        <v>33</v>
      </c>
    </row>
    <row r="3" spans="1:9" x14ac:dyDescent="0.25">
      <c r="A3" s="52" t="str">
        <f>B3&amp;"-"&amp;C3</f>
        <v>Conservador-PAPEL</v>
      </c>
      <c r="B3" s="52" t="s">
        <v>21</v>
      </c>
      <c r="C3" s="52" t="s">
        <v>27</v>
      </c>
      <c r="D3" s="53">
        <v>0.3</v>
      </c>
      <c r="I3" t="s">
        <v>33</v>
      </c>
    </row>
    <row r="4" spans="1:9" x14ac:dyDescent="0.25">
      <c r="A4" s="52" t="str">
        <f t="shared" ref="A4:A20" si="0">B4&amp;"-"&amp;C4</f>
        <v>Conservador-TIJOLO</v>
      </c>
      <c r="B4" s="52" t="s">
        <v>21</v>
      </c>
      <c r="C4" s="52" t="s">
        <v>28</v>
      </c>
      <c r="D4" s="53">
        <v>0.5</v>
      </c>
      <c r="H4" s="51" t="s">
        <v>36</v>
      </c>
      <c r="I4" s="62">
        <f>VLOOKUP(H4,$A:$D,4,)</f>
        <v>0.35</v>
      </c>
    </row>
    <row r="5" spans="1:9" x14ac:dyDescent="0.25">
      <c r="A5" s="52" t="str">
        <f t="shared" si="0"/>
        <v>Conservador-HIBRIDOS</v>
      </c>
      <c r="B5" s="52" t="s">
        <v>21</v>
      </c>
      <c r="C5" s="52" t="s">
        <v>29</v>
      </c>
      <c r="D5" s="53">
        <v>0.1</v>
      </c>
      <c r="H5" s="1"/>
    </row>
    <row r="6" spans="1:9" x14ac:dyDescent="0.25">
      <c r="A6" s="52" t="str">
        <f t="shared" si="0"/>
        <v>Conservador-FOF'S</v>
      </c>
      <c r="B6" s="52" t="s">
        <v>21</v>
      </c>
      <c r="C6" s="52" t="s">
        <v>30</v>
      </c>
      <c r="D6" s="53">
        <v>0.1</v>
      </c>
    </row>
    <row r="7" spans="1:9" x14ac:dyDescent="0.25">
      <c r="A7" s="52" t="str">
        <f t="shared" si="0"/>
        <v>Conservador-DESENVOLVIMENTO</v>
      </c>
      <c r="B7" s="52" t="s">
        <v>21</v>
      </c>
      <c r="C7" s="52" t="s">
        <v>31</v>
      </c>
      <c r="D7" s="53">
        <v>0</v>
      </c>
    </row>
    <row r="8" spans="1:9" ht="15.75" thickBot="1" x14ac:dyDescent="0.3">
      <c r="A8" s="60" t="str">
        <f t="shared" si="0"/>
        <v>Conservador-HOTELARIAS</v>
      </c>
      <c r="B8" s="60" t="s">
        <v>21</v>
      </c>
      <c r="C8" s="60" t="s">
        <v>32</v>
      </c>
      <c r="D8" s="61">
        <v>0</v>
      </c>
    </row>
    <row r="9" spans="1:9" x14ac:dyDescent="0.25">
      <c r="A9" s="58" t="str">
        <f t="shared" si="0"/>
        <v>Moderado-PAPEL</v>
      </c>
      <c r="B9" s="58" t="s">
        <v>35</v>
      </c>
      <c r="C9" s="58" t="s">
        <v>27</v>
      </c>
      <c r="D9" s="59">
        <v>0.32</v>
      </c>
    </row>
    <row r="10" spans="1:9" x14ac:dyDescent="0.25">
      <c r="A10" s="52" t="str">
        <f t="shared" si="0"/>
        <v>Moderado-TIJOLO</v>
      </c>
      <c r="B10" s="52" t="s">
        <v>35</v>
      </c>
      <c r="C10" s="52" t="s">
        <v>28</v>
      </c>
      <c r="D10" s="53">
        <v>0.35</v>
      </c>
    </row>
    <row r="11" spans="1:9" x14ac:dyDescent="0.25">
      <c r="A11" s="52" t="str">
        <f t="shared" si="0"/>
        <v>Moderado-HIBRIDOS</v>
      </c>
      <c r="B11" s="52" t="s">
        <v>35</v>
      </c>
      <c r="C11" s="52" t="s">
        <v>29</v>
      </c>
      <c r="D11" s="53">
        <v>0.08</v>
      </c>
    </row>
    <row r="12" spans="1:9" x14ac:dyDescent="0.25">
      <c r="A12" s="52" t="str">
        <f t="shared" si="0"/>
        <v>Moderado-FOF'S</v>
      </c>
      <c r="B12" s="52" t="s">
        <v>35</v>
      </c>
      <c r="C12" s="52" t="s">
        <v>30</v>
      </c>
      <c r="D12" s="53">
        <v>0.05</v>
      </c>
    </row>
    <row r="13" spans="1:9" x14ac:dyDescent="0.25">
      <c r="A13" s="52" t="str">
        <f t="shared" si="0"/>
        <v>Moderado-DESENVOLVIMENTO</v>
      </c>
      <c r="B13" s="52" t="s">
        <v>35</v>
      </c>
      <c r="C13" s="52" t="s">
        <v>31</v>
      </c>
      <c r="D13" s="53">
        <v>0.1</v>
      </c>
    </row>
    <row r="14" spans="1:9" ht="15.75" thickBot="1" x14ac:dyDescent="0.3">
      <c r="A14" s="60" t="str">
        <f t="shared" si="0"/>
        <v>Moderado-HOTELARIAS</v>
      </c>
      <c r="B14" s="60" t="s">
        <v>35</v>
      </c>
      <c r="C14" s="60" t="s">
        <v>32</v>
      </c>
      <c r="D14" s="61">
        <v>0.1</v>
      </c>
    </row>
    <row r="15" spans="1:9" x14ac:dyDescent="0.25">
      <c r="A15" s="58" t="str">
        <f t="shared" si="0"/>
        <v>Agressivo-PAPEL</v>
      </c>
      <c r="B15" s="58" t="s">
        <v>23</v>
      </c>
      <c r="C15" s="58" t="s">
        <v>27</v>
      </c>
      <c r="D15" s="59">
        <v>0.5</v>
      </c>
    </row>
    <row r="16" spans="1:9" x14ac:dyDescent="0.25">
      <c r="A16" s="52" t="str">
        <f t="shared" si="0"/>
        <v>Agressivo-TIJOLO</v>
      </c>
      <c r="B16" s="52" t="s">
        <v>23</v>
      </c>
      <c r="C16" s="52" t="s">
        <v>28</v>
      </c>
      <c r="D16" s="53">
        <v>0.1</v>
      </c>
    </row>
    <row r="17" spans="1:4" x14ac:dyDescent="0.25">
      <c r="A17" s="52" t="str">
        <f t="shared" si="0"/>
        <v>Agressivo-HIBRIDOS</v>
      </c>
      <c r="B17" s="52" t="s">
        <v>23</v>
      </c>
      <c r="C17" s="52" t="s">
        <v>29</v>
      </c>
      <c r="D17" s="53">
        <v>0.05</v>
      </c>
    </row>
    <row r="18" spans="1:4" x14ac:dyDescent="0.25">
      <c r="A18" s="52" t="str">
        <f t="shared" si="0"/>
        <v>Agressivo-FOF'S</v>
      </c>
      <c r="B18" s="52" t="s">
        <v>23</v>
      </c>
      <c r="C18" s="52" t="s">
        <v>30</v>
      </c>
      <c r="D18" s="53">
        <v>0.05</v>
      </c>
    </row>
    <row r="19" spans="1:4" x14ac:dyDescent="0.25">
      <c r="A19" s="52" t="str">
        <f t="shared" si="0"/>
        <v>Agressivo-DESENVOLVIMENTO</v>
      </c>
      <c r="B19" s="52" t="s">
        <v>23</v>
      </c>
      <c r="C19" s="52" t="s">
        <v>31</v>
      </c>
      <c r="D19" s="53">
        <v>0.2</v>
      </c>
    </row>
    <row r="20" spans="1:4" x14ac:dyDescent="0.25">
      <c r="A20" s="52" t="str">
        <f t="shared" si="0"/>
        <v>Agressivo-HOTELARIAS</v>
      </c>
      <c r="B20" s="52" t="s">
        <v>23</v>
      </c>
      <c r="C20" s="52" t="s">
        <v>32</v>
      </c>
      <c r="D20" s="5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APP</vt:lpstr>
      <vt:lpstr>APOIO</vt:lpstr>
      <vt:lpstr>aporte</vt:lpstr>
      <vt:lpstr>patrimonio</vt:lpstr>
      <vt:lpstr>qtd_anos</vt:lpstr>
      <vt:lpstr>rendimentos_carteira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2026-01-03T19:12:25Z</dcterms:created>
  <dcterms:modified xsi:type="dcterms:W3CDTF">2026-01-04T00:49:29Z</dcterms:modified>
</cp:coreProperties>
</file>